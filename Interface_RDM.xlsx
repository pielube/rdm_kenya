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74BDA678-8A72-40CE-8EC4-74480E39465E}" xr6:coauthVersionLast="47" xr6:coauthVersionMax="47" xr10:uidLastSave="{00000000-0000-0000-0000-000000000000}"/>
  <bookViews>
    <workbookView xWindow="-120" yWindow="-120" windowWidth="29040" windowHeight="15720" tabRatio="460" activeTab="1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<sst xmlns="http://schemas.openxmlformats.org/spreadsheetml/2006/main" count="340" uniqueCount="176">
  <si>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</si>
  <si>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</si>
  <si>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</si>
  <si>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</si>
  <si>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</si>
  <si>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</si>
  <si>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</si>
  <si>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</si>
  <si>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</si>
  <si>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</si>
  <si>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</si>
  <si>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</si>
  <si>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</si>
  <si>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</si>
  <si>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</si>
  <si>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</si>
  <si>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</si>
  <si>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</si>
  <si>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</si>
  <si>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</si>
  <si>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</si>
  <si>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</si>
  <si>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</si>
  <si>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</si>
  <si>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</si>
  <si>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</si>
  <si>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</si>
  <si>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</si>
  <si>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</si>
  <si>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</si>
  <si>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</si>
  <si>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</si>
  <si>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</si>
  <si>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</si>
  <si>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</si>
  <si>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</si>
  <si>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</si>
  <si>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</si>
  <si>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</si>
  <si>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</si>
  <si>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</si>
  <si>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</si>
  <si>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</si>
  <si>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</si>
  <si>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</si>
  <si>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</si>
  <si>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</si>
  <si>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</si>
  <si>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</si>
  <si>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</si>
  <si>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</si>
  <si>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</si>
  <si>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</si>
  <si>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</si>
  <si>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</si>
  <si>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</si>
  <si>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</si>
  <si>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</si>
  <si>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</si>
  <si>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</si>
  <si>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</si>
  <si>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</si>
  <si>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</si>
  <si>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</si>
  <si>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</si>
  <si>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</si>
  <si>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</si>
  <si>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</si>
  <si>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</si>
  <si>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</si>
  <si>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</si>
  <si>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</si>
  <si>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</si>
  <si>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</si>
  <si>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</si>
  <si>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</si>
  <si>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</si>
  <si>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</si>
  <si>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</si>
  <si>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</si>
  <si>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</si>
  <si>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</si>
  <si>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</si>
  <si>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</si>
  <si>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</si>
  <si>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</si>
  <si>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</si>
  <si>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</si>
  <si>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</si>
  <si>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</si>
  <si>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</si>
  <si>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</si>
  <si>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</si>
  <si>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</si>
  <si>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</si>
  <si>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</si>
  <si>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</si>
  <si>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</si>
  <si>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</si>
  <si>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</si>
  <si>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</si>
  <si>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</si>
  <si>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</si>
  <si>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</si>
  <si>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</si>
  <si>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</si>
  <si>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</si>
  <si>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</si>
  <si>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</si>
  <si>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</si>
  <si>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</si>
  <si>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</si>
  <si>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</si>
  <si>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</si>
  <si>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</si>
  <si>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</si>
  <si>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</si>
  <si>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</si>
  <si>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</si>
  <si>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</si>
  <si>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</si>
  <si>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</si>
  <si>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</si>
  <si>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</si>
  <si>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</si>
  <si>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</si>
  <si>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</si>
  <si>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</si>
  <si>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</si>
  <si>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</si>
  <si>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</si>
  <si>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</si>
  <si>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</si>
  <si>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</si>
  <si>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</si>
  <si>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</si>
  <si>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</si>
  <si>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</si>
  <si>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</si>
  <si>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</si>
  <si>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</si>
  <si>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</si>
  <si>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</si>
  <si>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</si>
  <si>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GEO</t>
  </si>
  <si>
    <t>Capital cost for NGS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</si>
  <si>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</si>
  <si>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</si>
  <si>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</si>
  <si>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</si>
  <si>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</si>
  <si>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</si>
  <si>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</si>
  <si>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PWRNGS001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</si>
  <si>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</si>
  <si>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</si>
  <si>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</si>
  <si>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</si>
  <si>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</si>
  <si>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</si>
  <si>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</si>
  <si>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</si>
  <si>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</si>
  <si>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</si>
  <si>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</si>
  <si>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</si>
  <si>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PWRGEO006</t>
  </si>
  <si>
    <t>PWRHYD004 ; PWRHYD005 ; PWRPHS001 ; PWRPHS002</t>
  </si>
  <si>
    <t>Capital cost for HYD, PHS</t>
  </si>
  <si>
    <t>Geothermal potential</t>
  </si>
  <si>
    <t xml:space="preserve">IMPNGS ; PWRNGS001 </t>
  </si>
  <si>
    <t>PWRDIST ; PWRTRN</t>
  </si>
  <si>
    <t>PWRHYD004 ; PWRHYD005 ; PWRPHS001 ; PWRPHS002 ; PWRURN001</t>
  </si>
  <si>
    <t>PWRSOL001</t>
  </si>
  <si>
    <t>BESS_TECH ; PWRSOL001 ; PWRWND001 ; PWRWND002 ; PWRWND003 ; PWRWND004 ; PWRWND005 ; PWRWND006 ; PWRWND007 ; PWRWND008 ; PWRWND009 ; PWRWND010 ; PWRWND011</t>
  </si>
  <si>
    <t>IMPHFOMOM ; IMPHFONAI ; IMPLFOELD ; IMPNGS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</si>
</sst>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5" xfId="0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6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workbookViewId="0">
      <selection activeCell="D2" sqref="D2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1" t="s">
        <v>14</v>
      </c>
      <c r="B1" s="1" t="s">
        <v>15</v>
      </c>
      <c r="C1" s="4" t="s">
        <v>17</v>
      </c>
      <c r="D1" s="6" t="s">
        <v>18</v>
      </c>
      <c r="E1" s="7" t="s">
        <v>21</v>
      </c>
      <c r="F1" s="10" t="s">
        <v>22</v>
      </c>
      <c r="G1" s="11" t="s">
        <v>23</v>
      </c>
      <c r="H1" s="11" t="s">
        <v>25</v>
      </c>
      <c r="I1" s="13" t="s">
        <v>70</v>
      </c>
    </row>
    <row r="2" spans="1:9" ht="15.75" thickBot="1" x14ac:dyDescent="0.3">
      <c r="A2" s="2">
        <v>10</v>
      </c>
      <c r="B2" s="2" t="s">
        <v>19</v>
      </c>
      <c r="C2" s="5">
        <v>1</v>
      </c>
      <c r="D2" s="8">
        <v>5</v>
      </c>
      <c r="E2" s="9">
        <v>48</v>
      </c>
      <c r="F2" s="12" t="s">
        <v>24</v>
      </c>
      <c r="G2" s="2" t="s">
        <v>24</v>
      </c>
      <c r="H2" s="2" t="s">
        <v>159</v>
      </c>
      <c r="I2" s="2" t="s">
        <v>141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18"/>
  <sheetViews>
    <sheetView tabSelected="1" zoomScale="85" zoomScaleNormal="55" workbookViewId="0">
      <selection activeCell="G14" sqref="G14"/>
    </sheetView>
  </sheetViews>
  <sheetFormatPr defaultColWidth="8.85546875" defaultRowHeight="15" x14ac:dyDescent="0.25"/>
  <cols>
    <col min="1" max="1" width="9.42578125" style="14" customWidth="1"/>
    <col min="2" max="2" width="19.85546875" style="3" customWidth="1"/>
    <col min="3" max="3" width="35.42578125" style="20" bestFit="1" customWidth="1"/>
    <col min="4" max="4" width="24.42578125" style="21" bestFit="1" customWidth="1"/>
    <col min="5" max="5" width="27.42578125" style="21" bestFit="1" customWidth="1"/>
    <col min="6" max="6" width="32.140625" style="21" bestFit="1" customWidth="1"/>
    <col min="7" max="7" width="32.140625" style="21" customWidth="1"/>
    <col min="8" max="8" width="13.42578125" style="21" bestFit="1" customWidth="1"/>
    <col min="9" max="9" width="14.42578125" style="21" bestFit="1" customWidth="1"/>
    <col min="10" max="10" width="51" style="21" bestFit="1" customWidth="1"/>
    <col min="11" max="11" width="79.42578125" style="22" bestFit="1" customWidth="1"/>
    <col min="12" max="12" width="49" style="22" bestFit="1" customWidth="1"/>
    <col min="13" max="13" width="45.85546875" style="21" bestFit="1" customWidth="1"/>
    <col min="14" max="14" width="44" style="15" bestFit="1" customWidth="1"/>
  </cols>
  <sheetData>
    <row r="1" spans="1:15" s="3" customFormat="1" ht="15" customHeight="1" x14ac:dyDescent="0.25">
      <c r="A1" s="16" t="s">
        <v>0</v>
      </c>
      <c r="B1" s="17" t="s">
        <v>1</v>
      </c>
      <c r="C1" s="19" t="s">
        <v>2</v>
      </c>
      <c r="D1" s="17" t="s">
        <v>3</v>
      </c>
      <c r="E1" s="17" t="s">
        <v>4</v>
      </c>
      <c r="F1" s="17" t="s">
        <v>5</v>
      </c>
      <c r="G1" s="17" t="s">
        <v>16</v>
      </c>
      <c r="H1" s="17" t="s">
        <v>6</v>
      </c>
      <c r="I1" s="17" t="s">
        <v>7</v>
      </c>
      <c r="J1" s="17" t="s">
        <v>8</v>
      </c>
      <c r="K1" s="19" t="s">
        <v>138</v>
      </c>
      <c r="L1" s="19" t="s">
        <v>136</v>
      </c>
      <c r="M1" s="17" t="s">
        <v>137</v>
      </c>
      <c r="N1" s="18" t="s">
        <v>9</v>
      </c>
    </row>
    <row r="2" spans="1:15" ht="15" customHeight="1" x14ac:dyDescent="0.25">
      <c r="A2" s="25">
        <v>1</v>
      </c>
      <c r="B2" s="25" t="s">
        <v>77</v>
      </c>
      <c r="C2" s="25" t="s">
        <v>151</v>
      </c>
      <c r="D2" s="25" t="s">
        <v>140</v>
      </c>
      <c r="E2" s="25" t="s">
        <v>139</v>
      </c>
      <c r="F2" s="25" t="s">
        <v>10</v>
      </c>
      <c r="G2" s="25">
        <v>2026</v>
      </c>
      <c r="H2" s="25">
        <v>0.8</v>
      </c>
      <c r="I2" s="25">
        <v>2.8</v>
      </c>
      <c r="J2" s="25" t="s">
        <v>51</v>
      </c>
      <c r="K2" s="26" t="s">
        <v>158</v>
      </c>
      <c r="L2" s="27"/>
      <c r="M2" s="27"/>
      <c r="N2" s="28"/>
      <c r="O2" s="20"/>
    </row>
    <row r="3" spans="1:15" s="31" customFormat="1" ht="15" customHeight="1" x14ac:dyDescent="0.25">
      <c r="A3" s="29">
        <v>2</v>
      </c>
      <c r="B3" s="25" t="s">
        <v>11</v>
      </c>
      <c r="C3" s="25" t="s">
        <v>150</v>
      </c>
      <c r="D3" s="25" t="s">
        <v>140</v>
      </c>
      <c r="E3" s="25" t="s">
        <v>139</v>
      </c>
      <c r="F3" s="25" t="s">
        <v>10</v>
      </c>
      <c r="G3" s="25">
        <v>2026</v>
      </c>
      <c r="H3" s="25">
        <v>0.15</v>
      </c>
      <c r="I3" s="25">
        <v>1.3</v>
      </c>
      <c r="J3" s="25" t="s">
        <v>11</v>
      </c>
      <c r="K3" s="26" t="s">
        <v>157</v>
      </c>
      <c r="L3" s="25"/>
      <c r="M3" s="25"/>
      <c r="N3" s="30"/>
    </row>
    <row r="4" spans="1:15" s="32" customFormat="1" ht="15" customHeight="1" x14ac:dyDescent="0.25">
      <c r="A4" s="29">
        <v>3</v>
      </c>
      <c r="B4" s="25" t="s">
        <v>20</v>
      </c>
      <c r="C4" s="25" t="s">
        <v>144</v>
      </c>
      <c r="D4" s="25" t="s">
        <v>140</v>
      </c>
      <c r="E4" s="25" t="s">
        <v>139</v>
      </c>
      <c r="F4" s="25" t="s">
        <v>10</v>
      </c>
      <c r="G4" s="25">
        <v>2026</v>
      </c>
      <c r="H4" s="25">
        <v>0.7</v>
      </c>
      <c r="I4" s="25">
        <v>1.1499999999999999</v>
      </c>
      <c r="J4" s="25" t="s">
        <v>11</v>
      </c>
      <c r="K4" s="26" t="s">
        <v>166</v>
      </c>
      <c r="L4" s="25"/>
      <c r="M4" s="25"/>
      <c r="N4" s="30"/>
    </row>
    <row r="5" spans="1:15" s="32" customFormat="1" ht="15" customHeight="1" x14ac:dyDescent="0.25">
      <c r="A5" s="33">
        <v>4</v>
      </c>
      <c r="B5" s="25" t="s">
        <v>20</v>
      </c>
      <c r="C5" s="25" t="s">
        <v>168</v>
      </c>
      <c r="D5" s="25" t="s">
        <v>140</v>
      </c>
      <c r="E5" s="25" t="s">
        <v>139</v>
      </c>
      <c r="F5" s="25" t="s">
        <v>10</v>
      </c>
      <c r="G5" s="25">
        <v>2026</v>
      </c>
      <c r="H5" s="25">
        <v>0.9</v>
      </c>
      <c r="I5" s="25">
        <v>1.2</v>
      </c>
      <c r="J5" s="25" t="s">
        <v>11</v>
      </c>
      <c r="K5" s="26" t="s">
        <v>167</v>
      </c>
      <c r="L5" s="34"/>
      <c r="M5" s="25"/>
      <c r="N5" s="30"/>
    </row>
    <row r="6" spans="1:15" s="32" customFormat="1" ht="15" customHeight="1" x14ac:dyDescent="0.25">
      <c r="A6" s="29">
        <v>5</v>
      </c>
      <c r="B6" s="25" t="s">
        <v>20</v>
      </c>
      <c r="C6" s="25" t="s">
        <v>145</v>
      </c>
      <c r="D6" s="25" t="s">
        <v>140</v>
      </c>
      <c r="E6" s="25" t="s">
        <v>139</v>
      </c>
      <c r="F6" s="25" t="s">
        <v>10</v>
      </c>
      <c r="G6" s="25">
        <v>2026</v>
      </c>
      <c r="H6" s="25">
        <v>0.9</v>
      </c>
      <c r="I6" s="25">
        <v>1.1000000000000001</v>
      </c>
      <c r="J6" s="25" t="s">
        <v>11</v>
      </c>
      <c r="K6" s="26" t="s">
        <v>153</v>
      </c>
      <c r="L6" s="25"/>
      <c r="M6" s="25"/>
      <c r="N6" s="30"/>
    </row>
    <row r="7" spans="1:15" s="32" customFormat="1" ht="15" customHeight="1" x14ac:dyDescent="0.25">
      <c r="A7" s="29">
        <v>6</v>
      </c>
      <c r="B7" s="25" t="s">
        <v>20</v>
      </c>
      <c r="C7" s="25" t="s">
        <v>146</v>
      </c>
      <c r="D7" s="25" t="s">
        <v>140</v>
      </c>
      <c r="E7" s="25" t="s">
        <v>139</v>
      </c>
      <c r="F7" s="25" t="s">
        <v>10</v>
      </c>
      <c r="G7" s="25">
        <v>2026</v>
      </c>
      <c r="H7" s="25">
        <v>0.1</v>
      </c>
      <c r="I7" s="25">
        <v>1.2</v>
      </c>
      <c r="J7" s="25" t="s">
        <v>11</v>
      </c>
      <c r="K7" s="26" t="s">
        <v>173</v>
      </c>
      <c r="L7" s="25"/>
      <c r="M7" s="25"/>
      <c r="N7" s="30"/>
    </row>
    <row r="8" spans="1:15" s="31" customFormat="1" ht="15" customHeight="1" x14ac:dyDescent="0.25">
      <c r="A8" s="33">
        <v>7</v>
      </c>
      <c r="B8" s="25" t="s">
        <v>20</v>
      </c>
      <c r="C8" s="25" t="s">
        <v>147</v>
      </c>
      <c r="D8" s="25" t="s">
        <v>140</v>
      </c>
      <c r="E8" s="25" t="s">
        <v>139</v>
      </c>
      <c r="F8" s="25" t="s">
        <v>10</v>
      </c>
      <c r="G8" s="25">
        <v>2026</v>
      </c>
      <c r="H8" s="25">
        <v>0.6</v>
      </c>
      <c r="I8" s="25">
        <v>1.6</v>
      </c>
      <c r="J8" s="25" t="s">
        <v>11</v>
      </c>
      <c r="K8" s="26" t="s">
        <v>154</v>
      </c>
      <c r="L8" s="25"/>
      <c r="M8" s="25"/>
      <c r="N8" s="30"/>
    </row>
    <row r="9" spans="1:15" s="32" customFormat="1" ht="15" customHeight="1" x14ac:dyDescent="0.25">
      <c r="A9" s="29">
        <v>8</v>
      </c>
      <c r="B9" s="25" t="s">
        <v>20</v>
      </c>
      <c r="C9" s="25" t="s">
        <v>148</v>
      </c>
      <c r="D9" s="25" t="s">
        <v>140</v>
      </c>
      <c r="E9" s="25" t="s">
        <v>139</v>
      </c>
      <c r="F9" s="25" t="s">
        <v>10</v>
      </c>
      <c r="G9" s="25">
        <v>2026</v>
      </c>
      <c r="H9" s="25">
        <v>0.3</v>
      </c>
      <c r="I9" s="25">
        <v>1.3</v>
      </c>
      <c r="J9" s="25" t="s">
        <v>11</v>
      </c>
      <c r="K9" s="26" t="s">
        <v>155</v>
      </c>
      <c r="L9" s="35"/>
      <c r="M9" s="35"/>
      <c r="N9" s="30"/>
      <c r="O9" s="20"/>
    </row>
    <row r="10" spans="1:15" s="32" customFormat="1" ht="15" customHeight="1" x14ac:dyDescent="0.25">
      <c r="A10" s="29">
        <v>9</v>
      </c>
      <c r="B10" s="25" t="s">
        <v>20</v>
      </c>
      <c r="C10" s="25" t="s">
        <v>149</v>
      </c>
      <c r="D10" s="25" t="s">
        <v>140</v>
      </c>
      <c r="E10" s="25" t="s">
        <v>139</v>
      </c>
      <c r="F10" s="25" t="s">
        <v>10</v>
      </c>
      <c r="G10" s="25">
        <v>2026</v>
      </c>
      <c r="H10" s="25">
        <v>0.75</v>
      </c>
      <c r="I10" s="25">
        <v>1.5</v>
      </c>
      <c r="J10" s="25" t="s">
        <v>11</v>
      </c>
      <c r="K10" s="26" t="s">
        <v>156</v>
      </c>
      <c r="L10" s="36"/>
      <c r="M10" s="36"/>
      <c r="N10" s="37"/>
    </row>
    <row r="11" spans="1:15" s="32" customFormat="1" ht="15" customHeight="1" x14ac:dyDescent="0.25">
      <c r="A11" s="33">
        <v>10</v>
      </c>
      <c r="B11" s="25" t="s">
        <v>142</v>
      </c>
      <c r="C11" s="25" t="s">
        <v>143</v>
      </c>
      <c r="D11" s="25" t="s">
        <v>140</v>
      </c>
      <c r="E11" s="25" t="s">
        <v>139</v>
      </c>
      <c r="F11" s="25" t="s">
        <v>10</v>
      </c>
      <c r="G11" s="25">
        <v>2026</v>
      </c>
      <c r="H11" s="25">
        <v>0.4</v>
      </c>
      <c r="I11" s="25">
        <v>1.9</v>
      </c>
      <c r="J11" s="25" t="s">
        <v>13</v>
      </c>
      <c r="K11" s="26" t="s">
        <v>175</v>
      </c>
      <c r="L11" s="25" t="s">
        <v>160</v>
      </c>
      <c r="M11" s="25"/>
      <c r="N11" s="30"/>
    </row>
    <row r="12" spans="1:15" s="32" customFormat="1" ht="15" customHeight="1" x14ac:dyDescent="0.25">
      <c r="A12" s="29">
        <v>11</v>
      </c>
      <c r="B12" s="25" t="s">
        <v>152</v>
      </c>
      <c r="C12" s="25" t="s">
        <v>169</v>
      </c>
      <c r="D12" s="25" t="s">
        <v>140</v>
      </c>
      <c r="E12" s="25" t="s">
        <v>139</v>
      </c>
      <c r="F12" s="25" t="s">
        <v>10</v>
      </c>
      <c r="G12" s="25">
        <v>2026</v>
      </c>
      <c r="H12" s="25">
        <v>1</v>
      </c>
      <c r="I12" s="25">
        <v>2.92</v>
      </c>
      <c r="J12" s="25" t="s">
        <v>60</v>
      </c>
      <c r="K12" s="26" t="s">
        <v>166</v>
      </c>
      <c r="L12" s="27"/>
      <c r="M12" s="38"/>
      <c r="N12" s="28"/>
    </row>
    <row r="13" spans="1:15" s="32" customFormat="1" ht="15" customHeight="1" x14ac:dyDescent="0.25">
      <c r="A13" s="29">
        <v>12</v>
      </c>
      <c r="B13" s="25" t="s">
        <v>161</v>
      </c>
      <c r="C13" s="25" t="s">
        <v>162</v>
      </c>
      <c r="D13" s="25" t="s">
        <v>140</v>
      </c>
      <c r="E13" s="25" t="s">
        <v>163</v>
      </c>
      <c r="F13" s="25" t="s">
        <v>10</v>
      </c>
      <c r="G13" s="25">
        <v>2020</v>
      </c>
      <c r="H13" s="25">
        <v>0.5</v>
      </c>
      <c r="I13" s="25">
        <v>1.5</v>
      </c>
      <c r="J13" s="25" t="s">
        <v>40</v>
      </c>
      <c r="K13" s="26"/>
      <c r="L13" s="26"/>
      <c r="M13" s="25"/>
      <c r="N13" s="28"/>
    </row>
    <row r="14" spans="1:15" s="32" customFormat="1" ht="15" customHeight="1" x14ac:dyDescent="0.25">
      <c r="A14" s="33">
        <v>13</v>
      </c>
      <c r="B14" s="25" t="s">
        <v>164</v>
      </c>
      <c r="C14" s="25" t="s">
        <v>165</v>
      </c>
      <c r="D14" s="25" t="s">
        <v>140</v>
      </c>
      <c r="E14" s="25" t="s">
        <v>139</v>
      </c>
      <c r="F14" s="25" t="s">
        <v>10</v>
      </c>
      <c r="G14" s="25">
        <v>2020</v>
      </c>
      <c r="H14" s="25">
        <v>0.18</v>
      </c>
      <c r="I14" s="25">
        <v>1.7</v>
      </c>
      <c r="J14" s="25" t="s">
        <v>113</v>
      </c>
      <c r="K14" s="26" t="s">
        <v>174</v>
      </c>
      <c r="L14" s="26"/>
      <c r="M14" s="25"/>
      <c r="N14" s="28"/>
    </row>
    <row r="15" spans="1:15" s="32" customFormat="1" ht="15" customHeight="1" x14ac:dyDescent="0.25">
      <c r="A15" s="29">
        <v>14</v>
      </c>
      <c r="B15" s="25" t="s">
        <v>164</v>
      </c>
      <c r="C15" s="25" t="s">
        <v>165</v>
      </c>
      <c r="D15" s="25" t="s">
        <v>140</v>
      </c>
      <c r="E15" s="25" t="s">
        <v>139</v>
      </c>
      <c r="F15" s="25" t="s">
        <v>10</v>
      </c>
      <c r="G15" s="25">
        <v>2020</v>
      </c>
      <c r="H15" s="25">
        <v>0.19</v>
      </c>
      <c r="I15" s="25">
        <v>1.45</v>
      </c>
      <c r="J15" s="25" t="s">
        <v>113</v>
      </c>
      <c r="K15" s="26" t="s">
        <v>170</v>
      </c>
      <c r="L15" s="26"/>
      <c r="M15" s="25"/>
      <c r="N15" s="28"/>
    </row>
    <row r="16" spans="1:15" ht="15" customHeight="1" x14ac:dyDescent="0.25">
      <c r="A16" s="29">
        <v>15</v>
      </c>
      <c r="B16" s="25" t="s">
        <v>164</v>
      </c>
      <c r="C16" s="25" t="s">
        <v>165</v>
      </c>
      <c r="D16" s="25" t="s">
        <v>140</v>
      </c>
      <c r="E16" s="25" t="s">
        <v>139</v>
      </c>
      <c r="F16" s="25" t="s">
        <v>10</v>
      </c>
      <c r="G16" s="25">
        <v>2020</v>
      </c>
      <c r="H16" s="25">
        <v>0.2</v>
      </c>
      <c r="I16" s="25">
        <v>1.1499999999999999</v>
      </c>
      <c r="J16" s="25" t="s">
        <v>113</v>
      </c>
      <c r="K16" s="26" t="s">
        <v>172</v>
      </c>
      <c r="L16" s="26"/>
      <c r="M16" s="25"/>
      <c r="N16" s="28"/>
    </row>
    <row r="17" spans="1:14" ht="15" customHeight="1" x14ac:dyDescent="0.25">
      <c r="A17" s="33">
        <v>16</v>
      </c>
      <c r="B17" s="25" t="s">
        <v>164</v>
      </c>
      <c r="C17" s="25" t="s">
        <v>165</v>
      </c>
      <c r="D17" s="25" t="s">
        <v>140</v>
      </c>
      <c r="E17" s="25" t="s">
        <v>139</v>
      </c>
      <c r="F17" s="25" t="s">
        <v>10</v>
      </c>
      <c r="G17" s="25">
        <v>2020</v>
      </c>
      <c r="H17" s="25">
        <v>0.18</v>
      </c>
      <c r="I17" s="25">
        <v>1.67</v>
      </c>
      <c r="J17" s="25" t="s">
        <v>113</v>
      </c>
      <c r="K17" s="26" t="s">
        <v>171</v>
      </c>
      <c r="L17" s="26"/>
      <c r="M17" s="25"/>
      <c r="N17" s="28"/>
    </row>
    <row r="18" spans="1:14" ht="15" customHeight="1" x14ac:dyDescent="0.25">
      <c r="A18" s="29">
        <v>17</v>
      </c>
      <c r="B18" s="25" t="s">
        <v>164</v>
      </c>
      <c r="C18" s="25" t="s">
        <v>165</v>
      </c>
      <c r="D18" s="25" t="s">
        <v>140</v>
      </c>
      <c r="E18" s="25" t="s">
        <v>139</v>
      </c>
      <c r="F18" s="25" t="s">
        <v>10</v>
      </c>
      <c r="G18" s="25">
        <v>2020</v>
      </c>
      <c r="H18" s="25">
        <v>0.2</v>
      </c>
      <c r="I18" s="25">
        <v>1.48</v>
      </c>
      <c r="J18" s="25" t="s">
        <v>113</v>
      </c>
      <c r="K18" s="26" t="s">
        <v>166</v>
      </c>
      <c r="L18" s="26"/>
      <c r="M18" s="25"/>
      <c r="N18" s="28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opLeftCell="A11"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3" bestFit="1" customWidth="1"/>
  </cols>
  <sheetData>
    <row r="1" spans="1:2" x14ac:dyDescent="0.25">
      <c r="A1" t="s">
        <v>26</v>
      </c>
      <c r="B1" s="3" t="s">
        <v>111</v>
      </c>
    </row>
    <row r="2" spans="1:2" x14ac:dyDescent="0.25">
      <c r="A2" t="s">
        <v>71</v>
      </c>
    </row>
    <row r="3" spans="1:2" x14ac:dyDescent="0.25">
      <c r="A3" t="s">
        <v>72</v>
      </c>
      <c r="B3" s="3" t="s">
        <v>112</v>
      </c>
    </row>
    <row r="4" spans="1:2" x14ac:dyDescent="0.25">
      <c r="A4" t="s">
        <v>73</v>
      </c>
      <c r="B4" s="3" t="s">
        <v>112</v>
      </c>
    </row>
    <row r="5" spans="1:2" x14ac:dyDescent="0.25">
      <c r="A5" t="s">
        <v>74</v>
      </c>
    </row>
    <row r="6" spans="1:2" x14ac:dyDescent="0.25">
      <c r="A6" t="s">
        <v>75</v>
      </c>
      <c r="B6" s="3" t="s">
        <v>112</v>
      </c>
    </row>
    <row r="7" spans="1:2" x14ac:dyDescent="0.25">
      <c r="A7" t="s">
        <v>76</v>
      </c>
      <c r="B7" s="3" t="s">
        <v>112</v>
      </c>
    </row>
    <row r="8" spans="1:2" x14ac:dyDescent="0.25">
      <c r="A8" t="s">
        <v>77</v>
      </c>
    </row>
    <row r="9" spans="1:2" x14ac:dyDescent="0.25">
      <c r="A9" t="s">
        <v>78</v>
      </c>
    </row>
    <row r="10" spans="1:2" x14ac:dyDescent="0.25">
      <c r="A10" t="s">
        <v>79</v>
      </c>
    </row>
    <row r="11" spans="1:2" x14ac:dyDescent="0.25">
      <c r="A11" t="s">
        <v>80</v>
      </c>
    </row>
    <row r="12" spans="1:2" x14ac:dyDescent="0.25">
      <c r="A12" t="s">
        <v>81</v>
      </c>
      <c r="B12" s="3" t="s">
        <v>112</v>
      </c>
    </row>
    <row r="13" spans="1:2" x14ac:dyDescent="0.25">
      <c r="A13" t="s">
        <v>82</v>
      </c>
    </row>
    <row r="14" spans="1:2" x14ac:dyDescent="0.25">
      <c r="A14" t="s">
        <v>83</v>
      </c>
    </row>
    <row r="15" spans="1:2" x14ac:dyDescent="0.25">
      <c r="A15" t="s">
        <v>84</v>
      </c>
    </row>
    <row r="16" spans="1:2" x14ac:dyDescent="0.25">
      <c r="A16" t="s">
        <v>85</v>
      </c>
    </row>
    <row r="17" spans="1:2" x14ac:dyDescent="0.25">
      <c r="A17" t="s">
        <v>86</v>
      </c>
    </row>
    <row r="18" spans="1:2" x14ac:dyDescent="0.25">
      <c r="A18" t="s">
        <v>87</v>
      </c>
    </row>
    <row r="19" spans="1:2" x14ac:dyDescent="0.25">
      <c r="A19" t="s">
        <v>88</v>
      </c>
      <c r="B19" s="3" t="s">
        <v>112</v>
      </c>
    </row>
    <row r="20" spans="1:2" x14ac:dyDescent="0.25">
      <c r="A20" t="s">
        <v>89</v>
      </c>
      <c r="B20" s="3" t="s">
        <v>112</v>
      </c>
    </row>
    <row r="21" spans="1:2" x14ac:dyDescent="0.25">
      <c r="A21" t="s">
        <v>90</v>
      </c>
    </row>
    <row r="22" spans="1:2" x14ac:dyDescent="0.25">
      <c r="A22" t="s">
        <v>91</v>
      </c>
    </row>
    <row r="23" spans="1:2" x14ac:dyDescent="0.25">
      <c r="A23" t="s">
        <v>92</v>
      </c>
    </row>
    <row r="24" spans="1:2" x14ac:dyDescent="0.25">
      <c r="A24" t="s">
        <v>93</v>
      </c>
    </row>
    <row r="25" spans="1:2" x14ac:dyDescent="0.25">
      <c r="A25" t="s">
        <v>94</v>
      </c>
    </row>
    <row r="26" spans="1:2" x14ac:dyDescent="0.25">
      <c r="A26" t="s">
        <v>95</v>
      </c>
    </row>
    <row r="27" spans="1:2" x14ac:dyDescent="0.25">
      <c r="A27" t="s">
        <v>96</v>
      </c>
    </row>
    <row r="28" spans="1:2" x14ac:dyDescent="0.25">
      <c r="A28" t="s">
        <v>97</v>
      </c>
    </row>
    <row r="29" spans="1:2" x14ac:dyDescent="0.25">
      <c r="A29" t="s">
        <v>98</v>
      </c>
    </row>
    <row r="30" spans="1:2" x14ac:dyDescent="0.25">
      <c r="A30" t="s">
        <v>99</v>
      </c>
    </row>
    <row r="31" spans="1:2" x14ac:dyDescent="0.25">
      <c r="A31" t="s">
        <v>100</v>
      </c>
    </row>
    <row r="32" spans="1:2" x14ac:dyDescent="0.25">
      <c r="A32" t="s">
        <v>101</v>
      </c>
    </row>
    <row r="33" spans="1:2" x14ac:dyDescent="0.25">
      <c r="A33" t="s">
        <v>102</v>
      </c>
    </row>
    <row r="34" spans="1:2" x14ac:dyDescent="0.25">
      <c r="A34" t="s">
        <v>103</v>
      </c>
    </row>
    <row r="35" spans="1:2" x14ac:dyDescent="0.25">
      <c r="A35" t="s">
        <v>104</v>
      </c>
    </row>
    <row r="36" spans="1:2" x14ac:dyDescent="0.25">
      <c r="A36" t="s">
        <v>105</v>
      </c>
    </row>
    <row r="37" spans="1:2" x14ac:dyDescent="0.25">
      <c r="A37" t="s">
        <v>106</v>
      </c>
    </row>
    <row r="38" spans="1:2" x14ac:dyDescent="0.25">
      <c r="A38" t="s">
        <v>107</v>
      </c>
      <c r="B38" s="3" t="s">
        <v>112</v>
      </c>
    </row>
    <row r="39" spans="1:2" x14ac:dyDescent="0.25">
      <c r="A39" t="s">
        <v>108</v>
      </c>
    </row>
    <row r="40" spans="1:2" x14ac:dyDescent="0.25">
      <c r="A40" t="s">
        <v>109</v>
      </c>
    </row>
    <row r="41" spans="1:2" x14ac:dyDescent="0.25">
      <c r="A41" t="s">
        <v>110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124</v>
      </c>
      <c r="B1" t="s">
        <v>69</v>
      </c>
      <c r="C1" t="s">
        <v>40</v>
      </c>
      <c r="D1" t="s">
        <v>113</v>
      </c>
      <c r="E1" s="23" t="s">
        <v>68</v>
      </c>
      <c r="F1" s="23" t="s">
        <v>39</v>
      </c>
      <c r="G1" s="23" t="s">
        <v>36</v>
      </c>
      <c r="H1" s="23" t="s">
        <v>34</v>
      </c>
      <c r="I1" s="23" t="s">
        <v>35</v>
      </c>
      <c r="J1" t="s">
        <v>37</v>
      </c>
      <c r="K1" t="s">
        <v>38</v>
      </c>
      <c r="L1" t="s">
        <v>51</v>
      </c>
      <c r="M1" t="s">
        <v>52</v>
      </c>
      <c r="N1" t="s">
        <v>27</v>
      </c>
      <c r="O1" s="23" t="s">
        <v>32</v>
      </c>
      <c r="P1" s="23" t="s">
        <v>123</v>
      </c>
      <c r="Q1" t="s">
        <v>31</v>
      </c>
      <c r="R1" t="s">
        <v>30</v>
      </c>
      <c r="S1" t="s">
        <v>29</v>
      </c>
      <c r="T1" s="23" t="s">
        <v>46</v>
      </c>
      <c r="U1" t="s">
        <v>49</v>
      </c>
      <c r="V1" t="s">
        <v>43</v>
      </c>
      <c r="W1" t="s">
        <v>115</v>
      </c>
      <c r="X1" t="s">
        <v>116</v>
      </c>
      <c r="Y1" t="s">
        <v>48</v>
      </c>
      <c r="Z1" s="23" t="s">
        <v>117</v>
      </c>
      <c r="AA1" t="s">
        <v>11</v>
      </c>
      <c r="AB1" t="s">
        <v>13</v>
      </c>
      <c r="AC1" t="s">
        <v>12</v>
      </c>
      <c r="AD1" t="s">
        <v>33</v>
      </c>
      <c r="AE1" t="s">
        <v>60</v>
      </c>
      <c r="AF1" t="s">
        <v>62</v>
      </c>
      <c r="AG1" t="s">
        <v>61</v>
      </c>
      <c r="AH1" t="s">
        <v>63</v>
      </c>
      <c r="AI1" t="s">
        <v>65</v>
      </c>
      <c r="AJ1" t="s">
        <v>64</v>
      </c>
      <c r="AK1" t="s">
        <v>67</v>
      </c>
      <c r="AL1" t="s">
        <v>66</v>
      </c>
      <c r="AM1" t="s">
        <v>41</v>
      </c>
      <c r="AN1" t="s">
        <v>28</v>
      </c>
      <c r="AO1" s="23" t="s">
        <v>45</v>
      </c>
      <c r="AP1" t="s">
        <v>42</v>
      </c>
      <c r="AQ1" t="s">
        <v>114</v>
      </c>
      <c r="AR1" s="23" t="s">
        <v>54</v>
      </c>
      <c r="AS1" s="23" t="s">
        <v>55</v>
      </c>
      <c r="AT1" s="23" t="s">
        <v>53</v>
      </c>
      <c r="AU1" t="s">
        <v>44</v>
      </c>
      <c r="AV1" s="23" t="s">
        <v>47</v>
      </c>
      <c r="AW1" t="s">
        <v>33</v>
      </c>
      <c r="AX1" t="s">
        <v>50</v>
      </c>
      <c r="AY1" t="s">
        <v>59</v>
      </c>
      <c r="AZ1" t="s">
        <v>58</v>
      </c>
      <c r="BA1" t="s">
        <v>56</v>
      </c>
      <c r="BB1" t="s">
        <v>57</v>
      </c>
      <c r="BC1" s="24" t="s">
        <v>118</v>
      </c>
      <c r="BD1" s="24" t="s">
        <v>119</v>
      </c>
      <c r="BE1" s="24" t="s">
        <v>120</v>
      </c>
      <c r="BF1" s="24" t="s">
        <v>121</v>
      </c>
      <c r="BG1" s="23" t="s">
        <v>122</v>
      </c>
    </row>
    <row r="2" spans="1:59" x14ac:dyDescent="0.25">
      <c r="A2" t="s">
        <v>125</v>
      </c>
      <c r="B2">
        <f t="shared" ref="B2:AQ2" si="0">+COUNTA(B3:B1048576)</f>
        <v>1</v>
      </c>
      <c r="C2">
        <v>0</v>
      </c>
      <c r="D2">
        <f t="shared" si="0"/>
        <v>1</v>
      </c>
      <c r="E2" s="23">
        <f t="shared" si="0"/>
        <v>1</v>
      </c>
      <c r="F2" s="23">
        <f t="shared" si="0"/>
        <v>1</v>
      </c>
      <c r="G2" s="23">
        <f t="shared" si="0"/>
        <v>1</v>
      </c>
      <c r="H2" s="23">
        <f t="shared" si="0"/>
        <v>1</v>
      </c>
      <c r="I2" s="2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23">
        <f t="shared" si="0"/>
        <v>1</v>
      </c>
      <c r="P2" s="2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2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2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23">
        <f t="shared" si="0"/>
        <v>1</v>
      </c>
      <c r="AP2">
        <f t="shared" si="0"/>
        <v>1</v>
      </c>
      <c r="AQ2">
        <f t="shared" si="0"/>
        <v>3</v>
      </c>
      <c r="AR2" s="23">
        <f>+COUNTA(AR3:AR5)</f>
        <v>3</v>
      </c>
      <c r="AS2" s="23">
        <f>+COUNTA(AS3:AS5)</f>
        <v>3</v>
      </c>
      <c r="AT2" s="23">
        <f t="shared" ref="AT2:BG2" si="1">+COUNTA(AT3:AT6)</f>
        <v>1</v>
      </c>
      <c r="AU2">
        <f t="shared" si="1"/>
        <v>1</v>
      </c>
      <c r="AV2" s="2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24">
        <f t="shared" si="1"/>
        <v>1</v>
      </c>
      <c r="BD2" s="24">
        <f t="shared" si="1"/>
        <v>2</v>
      </c>
      <c r="BE2" s="24">
        <f t="shared" si="1"/>
        <v>2</v>
      </c>
      <c r="BF2" s="24">
        <f t="shared" si="1"/>
        <v>2</v>
      </c>
      <c r="BG2" s="23">
        <f t="shared" si="1"/>
        <v>2</v>
      </c>
    </row>
    <row r="3" spans="1:59" x14ac:dyDescent="0.25">
      <c r="B3" t="s">
        <v>126</v>
      </c>
      <c r="D3" t="s">
        <v>131</v>
      </c>
      <c r="E3" s="23" t="s">
        <v>127</v>
      </c>
      <c r="F3" s="23" t="s">
        <v>127</v>
      </c>
      <c r="G3" s="23" t="s">
        <v>126</v>
      </c>
      <c r="H3" s="23" t="s">
        <v>126</v>
      </c>
      <c r="I3" s="23" t="s">
        <v>126</v>
      </c>
      <c r="J3" t="s">
        <v>128</v>
      </c>
      <c r="K3" t="s">
        <v>129</v>
      </c>
      <c r="L3" t="s">
        <v>130</v>
      </c>
      <c r="M3" t="s">
        <v>130</v>
      </c>
      <c r="N3" t="s">
        <v>130</v>
      </c>
      <c r="O3" s="23" t="s">
        <v>127</v>
      </c>
      <c r="P3" s="23" t="s">
        <v>127</v>
      </c>
      <c r="Q3" t="s">
        <v>131</v>
      </c>
      <c r="R3" t="s">
        <v>131</v>
      </c>
      <c r="S3" t="s">
        <v>131</v>
      </c>
      <c r="T3" s="23" t="s">
        <v>127</v>
      </c>
      <c r="U3" t="s">
        <v>131</v>
      </c>
      <c r="V3" t="s">
        <v>131</v>
      </c>
      <c r="W3" t="s">
        <v>131</v>
      </c>
      <c r="X3" t="s">
        <v>131</v>
      </c>
      <c r="Y3" t="s">
        <v>131</v>
      </c>
      <c r="Z3" s="23" t="s">
        <v>127</v>
      </c>
      <c r="AA3" t="s">
        <v>131</v>
      </c>
      <c r="AB3" t="s">
        <v>131</v>
      </c>
      <c r="AC3" t="s">
        <v>131</v>
      </c>
      <c r="AD3" t="s">
        <v>132</v>
      </c>
      <c r="AE3" t="s">
        <v>131</v>
      </c>
      <c r="AF3" t="s">
        <v>131</v>
      </c>
      <c r="AG3" t="s">
        <v>131</v>
      </c>
      <c r="AH3" t="s">
        <v>131</v>
      </c>
      <c r="AI3" t="s">
        <v>131</v>
      </c>
      <c r="AJ3" t="s">
        <v>131</v>
      </c>
      <c r="AK3" t="s">
        <v>131</v>
      </c>
      <c r="AL3" t="s">
        <v>131</v>
      </c>
      <c r="AM3" t="s">
        <v>131</v>
      </c>
      <c r="AN3" t="s">
        <v>133</v>
      </c>
      <c r="AO3" s="23" t="s">
        <v>133</v>
      </c>
      <c r="AP3" t="s">
        <v>133</v>
      </c>
      <c r="AQ3" t="s">
        <v>131</v>
      </c>
      <c r="AR3" s="23" t="s">
        <v>131</v>
      </c>
      <c r="AS3" s="23" t="s">
        <v>131</v>
      </c>
      <c r="AT3" s="23" t="s">
        <v>132</v>
      </c>
      <c r="AU3" t="s">
        <v>132</v>
      </c>
      <c r="AV3" s="23" t="s">
        <v>127</v>
      </c>
      <c r="AW3" t="s">
        <v>132</v>
      </c>
      <c r="AX3" t="s">
        <v>132</v>
      </c>
      <c r="AY3" t="s">
        <v>131</v>
      </c>
      <c r="AZ3" t="s">
        <v>131</v>
      </c>
      <c r="BA3" t="s">
        <v>131</v>
      </c>
      <c r="BB3" t="s">
        <v>131</v>
      </c>
      <c r="BC3" s="24" t="s">
        <v>134</v>
      </c>
      <c r="BD3" s="24" t="s">
        <v>131</v>
      </c>
      <c r="BE3" s="24" t="s">
        <v>131</v>
      </c>
      <c r="BF3" s="24" t="s">
        <v>131</v>
      </c>
      <c r="BG3" s="23" t="s">
        <v>127</v>
      </c>
    </row>
    <row r="4" spans="1:59" x14ac:dyDescent="0.25">
      <c r="E4" s="23"/>
      <c r="F4" s="23"/>
      <c r="G4" s="23"/>
      <c r="H4" s="23"/>
      <c r="I4" s="23"/>
      <c r="M4" t="s">
        <v>126</v>
      </c>
      <c r="O4" s="23"/>
      <c r="P4" s="23"/>
      <c r="R4" t="s">
        <v>126</v>
      </c>
      <c r="T4" s="23"/>
      <c r="V4" t="s">
        <v>130</v>
      </c>
      <c r="W4" t="s">
        <v>130</v>
      </c>
      <c r="X4" t="s">
        <v>130</v>
      </c>
      <c r="Y4" t="s">
        <v>130</v>
      </c>
      <c r="Z4" s="23"/>
      <c r="AB4" t="s">
        <v>135</v>
      </c>
      <c r="AM4" t="s">
        <v>133</v>
      </c>
      <c r="AO4" s="23"/>
      <c r="AQ4" t="s">
        <v>133</v>
      </c>
      <c r="AR4" s="23" t="s">
        <v>132</v>
      </c>
      <c r="AS4" s="23" t="s">
        <v>132</v>
      </c>
      <c r="AT4" s="23"/>
      <c r="AV4" s="23" t="s">
        <v>132</v>
      </c>
      <c r="AY4" t="s">
        <v>135</v>
      </c>
      <c r="AZ4" t="s">
        <v>135</v>
      </c>
      <c r="BA4" t="s">
        <v>135</v>
      </c>
      <c r="BB4" t="s">
        <v>135</v>
      </c>
      <c r="BC4" s="24"/>
      <c r="BD4" s="24" t="s">
        <v>134</v>
      </c>
      <c r="BE4" s="24" t="s">
        <v>134</v>
      </c>
      <c r="BF4" s="24" t="s">
        <v>134</v>
      </c>
      <c r="BG4" s="23" t="s">
        <v>134</v>
      </c>
    </row>
    <row r="5" spans="1:59" x14ac:dyDescent="0.25">
      <c r="E5" s="23"/>
      <c r="F5" s="23"/>
      <c r="G5" s="23"/>
      <c r="H5" s="23"/>
      <c r="I5" s="23"/>
      <c r="O5" s="23"/>
      <c r="P5" s="23"/>
      <c r="T5" s="23"/>
      <c r="V5" t="s">
        <v>135</v>
      </c>
      <c r="Y5" t="s">
        <v>135</v>
      </c>
      <c r="Z5" s="23"/>
      <c r="AM5" t="s">
        <v>135</v>
      </c>
      <c r="AO5" s="23"/>
      <c r="AQ5" t="s">
        <v>135</v>
      </c>
      <c r="AR5" s="23" t="s">
        <v>135</v>
      </c>
      <c r="AS5" s="23" t="s">
        <v>135</v>
      </c>
      <c r="AT5" s="23"/>
      <c r="AV5" s="23"/>
      <c r="BC5" s="24"/>
      <c r="BD5" s="24"/>
      <c r="BE5" s="24"/>
      <c r="BF5" s="24"/>
      <c r="BG5" s="23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Pietro Lubello</cp:lastModifiedBy>
  <cp:revision/>
  <dcterms:created xsi:type="dcterms:W3CDTF">2019-11-14T00:08:08Z</dcterms:created>
  <dcterms:modified xsi:type="dcterms:W3CDTF">2026-03-17T14:17:49Z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